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7c31f3f67831c07/Desktop/"/>
    </mc:Choice>
  </mc:AlternateContent>
  <xr:revisionPtr revIDLastSave="227" documentId="8_{E19704D6-F26E-4A01-B47F-C63DF3B66F27}" xr6:coauthVersionLast="47" xr6:coauthVersionMax="47" xr10:uidLastSave="{59A9CEBC-FC65-4A1E-A352-BF271394CBEA}"/>
  <bookViews>
    <workbookView xWindow="-98" yWindow="-98" windowWidth="22695" windowHeight="13546" xr2:uid="{00000000-000D-0000-FFFF-FFFF00000000}"/>
  </bookViews>
  <sheets>
    <sheet name="Summary_Statistics" sheetId="2" r:id="rId1"/>
    <sheet name="Correlation_Matrix" sheetId="3" r:id="rId2"/>
    <sheet name="Cabin_Analysis" sheetId="4" r:id="rId3"/>
    <sheet name="Customer_Analysis" sheetId="5" r:id="rId4"/>
    <sheet name="Model_Readiness" sheetId="6" r:id="rId5"/>
    <sheet name="Business_Insights" sheetId="7" r:id="rId6"/>
    <sheet name="Variable_Definition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2" l="1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C10" i="2"/>
  <c r="B10" i="2"/>
  <c r="I3" i="5"/>
  <c r="I2" i="5"/>
  <c r="D3" i="5"/>
  <c r="D2" i="5"/>
  <c r="I3" i="4"/>
  <c r="I2" i="4"/>
  <c r="D3" i="4"/>
  <c r="D2" i="4"/>
</calcChain>
</file>

<file path=xl/sharedStrings.xml><?xml version="1.0" encoding="utf-8"?>
<sst xmlns="http://schemas.openxmlformats.org/spreadsheetml/2006/main" count="282" uniqueCount="198">
  <si>
    <t>num_seats_total</t>
  </si>
  <si>
    <t>mean_net_ticket_price</t>
  </si>
  <si>
    <t>Dept_Date</t>
  </si>
  <si>
    <t>Purchase_Date</t>
  </si>
  <si>
    <t>Culmulative_sales</t>
  </si>
  <si>
    <t>isNormCabin</t>
  </si>
  <si>
    <t>isReturn</t>
  </si>
  <si>
    <t>isOneway</t>
  </si>
  <si>
    <t>Customer_Cat</t>
  </si>
  <si>
    <t>days_advance</t>
  </si>
  <si>
    <t>num_seats_adj</t>
  </si>
  <si>
    <t>price_adj</t>
  </si>
  <si>
    <t>ln_seats</t>
  </si>
  <si>
    <t>ln_price</t>
  </si>
  <si>
    <t>Customer_Cat_B</t>
  </si>
  <si>
    <t>price_x_cabin</t>
  </si>
  <si>
    <t>price_x_customer</t>
  </si>
  <si>
    <t>price_x_return</t>
  </si>
  <si>
    <t>booking_window</t>
  </si>
  <si>
    <t>price_per_seat_ratio</t>
  </si>
  <si>
    <t>demand_intensity</t>
  </si>
  <si>
    <t>estimated_revenue</t>
  </si>
  <si>
    <t>A</t>
  </si>
  <si>
    <t>B</t>
  </si>
  <si>
    <t>count</t>
  </si>
  <si>
    <t>mean</t>
  </si>
  <si>
    <t>min</t>
  </si>
  <si>
    <t>25%</t>
  </si>
  <si>
    <t>50%</t>
  </si>
  <si>
    <t>75%</t>
  </si>
  <si>
    <t>max</t>
  </si>
  <si>
    <t>std</t>
  </si>
  <si>
    <t>num_seats_total_mean</t>
  </si>
  <si>
    <t>num_seats_total_std</t>
  </si>
  <si>
    <t>num_seats_total_count</t>
  </si>
  <si>
    <t>mean_net_ticket_price_mean</t>
  </si>
  <si>
    <t>mean_net_ticket_price_std</t>
  </si>
  <si>
    <t>estimated_revenue_sum</t>
  </si>
  <si>
    <t>estimated_revenue_mean</t>
  </si>
  <si>
    <t>days_advance_mean</t>
  </si>
  <si>
    <t>Check</t>
  </si>
  <si>
    <t>Status</t>
  </si>
  <si>
    <t>Count_or_Value</t>
  </si>
  <si>
    <t>Zero values in seats</t>
  </si>
  <si>
    <t>PASS</t>
  </si>
  <si>
    <t>Zero values in prices</t>
  </si>
  <si>
    <t>Missing values</t>
  </si>
  <si>
    <t>Price variation exists</t>
  </si>
  <si>
    <t>147.0248</t>
  </si>
  <si>
    <t>Log transformation possible</t>
  </si>
  <si>
    <t>Sufficient sample size</t>
  </si>
  <si>
    <t>Cabin type segments &gt; 30</t>
  </si>
  <si>
    <t>Customer segments &gt; 30</t>
  </si>
  <si>
    <t>Interaction terms created</t>
  </si>
  <si>
    <t>Model 1 ready</t>
  </si>
  <si>
    <t>Both conditions met</t>
  </si>
  <si>
    <t>Model 2 ready</t>
  </si>
  <si>
    <t>Metric</t>
  </si>
  <si>
    <t>Value</t>
  </si>
  <si>
    <t>Total Observations</t>
  </si>
  <si>
    <t>209,697</t>
  </si>
  <si>
    <t>Total Revenue</t>
  </si>
  <si>
    <t>$102,582,170.70</t>
  </si>
  <si>
    <t>Average Price</t>
  </si>
  <si>
    <t>$230.12</t>
  </si>
  <si>
    <t>Average Seats per Booking</t>
  </si>
  <si>
    <t>2.38</t>
  </si>
  <si>
    <t>Price-Quantity Correlation</t>
  </si>
  <si>
    <t>-0.1932</t>
  </si>
  <si>
    <t>Most Common Cabin Type</t>
  </si>
  <si>
    <t>Normal Cabin</t>
  </si>
  <si>
    <t>Most Common Customer Type</t>
  </si>
  <si>
    <t>Price Variation (Std Dev)</t>
  </si>
  <si>
    <t>Booking Window Range (Days)</t>
  </si>
  <si>
    <t>0 to 364</t>
  </si>
  <si>
    <t>Variable</t>
  </si>
  <si>
    <t>Definition</t>
  </si>
  <si>
    <t>Purpose</t>
  </si>
  <si>
    <t>Number of seats sold (dependent variable)</t>
  </si>
  <si>
    <t>Main outcome variable for demand function</t>
  </si>
  <si>
    <t>Average ticket price (key independent variable)</t>
  </si>
  <si>
    <t>Price elasticity estimation</t>
  </si>
  <si>
    <t>Days between purchase and departure</t>
  </si>
  <si>
    <t>Temporal demand analysis</t>
  </si>
  <si>
    <t>Natural log of seats (for elasticity analysis)</t>
  </si>
  <si>
    <t>Log-linear elasticity model (Model 1)</t>
  </si>
  <si>
    <t>Natural log of price (for elasticity analysis)</t>
  </si>
  <si>
    <t>Binary: 1 if Customer Category B, 0 if A</t>
  </si>
  <si>
    <t>Market segmentation analysis</t>
  </si>
  <si>
    <t>Interaction: price × normal cabin indicator</t>
  </si>
  <si>
    <t>Interaction effects model (Model 2)</t>
  </si>
  <si>
    <t>Interaction: price × customer category B</t>
  </si>
  <si>
    <t>Interaction: price × return trip indicator</t>
  </si>
  <si>
    <t>Total revenue: seats × price</t>
  </si>
  <si>
    <t>Business performance metric</t>
  </si>
  <si>
    <t>Demand intensity: cumulative sales / seats</t>
  </si>
  <si>
    <t>Market dynamics indicator</t>
  </si>
  <si>
    <t>Booking timing category: Early/Medium/Last-minute</t>
  </si>
  <si>
    <t>Consumer behavior analysis</t>
  </si>
  <si>
    <t>Low</t>
  </si>
  <si>
    <t>High &amp; Unpredictable</t>
  </si>
  <si>
    <t>Mean_Std_Relation_num_seats</t>
  </si>
  <si>
    <t>Mean_Std_Relation_ticket_price</t>
  </si>
  <si>
    <t>Volatility_ticket_price</t>
  </si>
  <si>
    <t>Volatility_num_seats</t>
  </si>
  <si>
    <t>mean_std_relation_ticket_price</t>
  </si>
  <si>
    <t>volatility_ticket_price</t>
  </si>
  <si>
    <t>mean_std_relation_num_seats</t>
  </si>
  <si>
    <t>Moderate</t>
  </si>
  <si>
    <t>High</t>
  </si>
  <si>
    <t>Moderate &amp; Predictable</t>
  </si>
  <si>
    <t>Small (&lt; 10% of mean): Consistent, predictable demand</t>
  </si>
  <si>
    <t>Medium (10-30% of mean): Moderate variability</t>
  </si>
  <si>
    <t>Large (&gt; 30% of mean): Highly volatile, unpredictable patterns</t>
  </si>
  <si>
    <t>High &amp; unpredictable</t>
  </si>
  <si>
    <t>Moderate &amp; unpredictable</t>
  </si>
  <si>
    <t>Correlation Strength Scale:</t>
  </si>
  <si>
    <t>|r| = 0.0 - 0.1: Negligible relationship</t>
  </si>
  <si>
    <t xml:space="preserve">|r| = 0.1 - 0.3: Weak relationship  </t>
  </si>
  <si>
    <t>|r| = 0.3 - 0.5: Moderate relationship</t>
  </si>
  <si>
    <t>|r| = 0.5 - 0.7: Strong relationship</t>
  </si>
  <si>
    <t>|r| = 0.7 - 0.9: Very strong relationship</t>
  </si>
  <si>
    <t>|r| = 0.9 - 1.0: Near perfect relationship</t>
  </si>
  <si>
    <t>volatility</t>
  </si>
  <si>
    <t>Predictability</t>
  </si>
  <si>
    <t>Volatility = % |((Mean-std)/mean))|</t>
  </si>
  <si>
    <t>Predictability:</t>
  </si>
  <si>
    <t>High (&lt; 10% of mean): Consistent, predictable demand</t>
  </si>
  <si>
    <t>Moderate (10-30% of mean): Moderate variability</t>
  </si>
  <si>
    <t>Low (&gt; 30% of mean): Highly volatile, unpredictable patterns</t>
  </si>
  <si>
    <t>Darker shade of red denotes low corelation whereas lighter shade denotes high corelation. Darker shade of Green means very high corelation and lower shade of green means moderate corelation</t>
  </si>
  <si>
    <t>Meaning</t>
  </si>
  <si>
    <t>Weak inverse relationship (inelastic demand)</t>
  </si>
  <si>
    <t>Expected: Negative correlation (demand law)</t>
  </si>
  <si>
    <t>r = -0.8 to -0.3: Strong inverse relationship (elastic demand)</t>
  </si>
  <si>
    <t xml:space="preserve">r = -0.3 to 0: Weak inverse relationship (inelastic demand)  </t>
  </si>
  <si>
    <t>r &gt; 0: Positive relationship (investigate: premium effect? data issues?)</t>
  </si>
  <si>
    <t>1. Price-Quantity Correlation</t>
  </si>
  <si>
    <t xml:space="preserve">With Seats: </t>
  </si>
  <si>
    <t>With Price:</t>
  </si>
  <si>
    <t>Positive: Early bookers buy more seats</t>
  </si>
  <si>
    <t>Negative: Last-minute bookings are larger</t>
  </si>
  <si>
    <t>Negative: Discounts for advance purchase</t>
  </si>
  <si>
    <t>Positive: Early bookings are more expensive</t>
  </si>
  <si>
    <t>2. Advance Booking Correlation</t>
  </si>
  <si>
    <t>Prebooking-Seat Correlation</t>
  </si>
  <si>
    <t>Prebooking-Price Correlation</t>
  </si>
  <si>
    <t>Positive</t>
  </si>
  <si>
    <t>Early bookers buy more seats</t>
  </si>
  <si>
    <t xml:space="preserve">Negative </t>
  </si>
  <si>
    <t>Discounts for advance purchase</t>
  </si>
  <si>
    <t>Standard deviation across Net ticket price &gt; 0</t>
  </si>
  <si>
    <t>ln(seats) exists</t>
  </si>
  <si>
    <t>more than 30 individual cabin types across data</t>
  </si>
  <si>
    <t>more than 30 individual customer types across data</t>
  </si>
  <si>
    <t>price_x_cabin = (mean_net_price*isNormCabin)</t>
  </si>
  <si>
    <t>price_adj = round off small price values to 0</t>
  </si>
  <si>
    <t>Market Share</t>
  </si>
  <si>
    <t>Conclusions</t>
  </si>
  <si>
    <t>Special cabin generates 86% higher revenue per booking despite smaller group sizes</t>
  </si>
  <si>
    <t>Price differential of 148% between cabin types indicates successful premium positioning</t>
  </si>
  <si>
    <t>Normal cabin dominates volume (59.8%) but special cabin drives revenue efficiency</t>
  </si>
  <si>
    <t>Customer A: Premium segment (higher prices, smaller groups, higher revenue density)</t>
  </si>
  <si>
    <t>Seats/Booking</t>
  </si>
  <si>
    <t>Customer B: Volume segment (larger groups, moderate prices, majority market share)</t>
  </si>
  <si>
    <t>Price sensitivity: Customer A pays 84% premium over Customer B</t>
  </si>
  <si>
    <t>Predictability &amp; Risk Assessment</t>
  </si>
  <si>
    <t>Demand Predictability</t>
  </si>
  <si>
    <t>Based on volatility analysis:</t>
  </si>
  <si>
    <t>Seats demand: Moderate volatility (12-15%) = Predictable booking patterns</t>
  </si>
  <si>
    <t>Business Intelligence:</t>
  </si>
  <si>
    <t>2. Revenue forecasting is challenging due to price volatility</t>
  </si>
  <si>
    <t>3. Recommendation: Focus capacity planning on seat demand patterns, not revenue projections</t>
  </si>
  <si>
    <t>Train demand shows inelastic behavior - passengers are relatively price-insensitive</t>
  </si>
  <si>
    <t>1. A 10% price increase would reduce demand by only ~1.9%</t>
  </si>
  <si>
    <t>2. This suggests essential transportation rather than discretionary travel</t>
  </si>
  <si>
    <t>3. Business implication: Significant pricing power exists - revenue can be increased through strategic price increase</t>
  </si>
  <si>
    <t>Seats demand: Moderate volatility (12-15%) = Predictable booking patterns
Prices: High volatility (36-61%) = Dynamic pricing in effect</t>
  </si>
  <si>
    <t>Based on volatility analysis:
Seats demand: Moderate volatility (14-25%) = Predictable booking patterns
Prices: High volatility (30-65%) = Dynamic pricing in effect</t>
  </si>
  <si>
    <t>1.Demand forecasting is reliable due to consistent booking patterns</t>
  </si>
  <si>
    <t>Model 2: Y = β₀ + β₁X + β₂Z₁ + β₃Z₂ + β₄(X × Z₁) + β₅(X × Z₂) + ε</t>
  </si>
  <si>
    <t>Where:</t>
  </si>
  <si>
    <t>Y = num_seats_total</t>
  </si>
  <si>
    <t>X = mean_net_ticket_price</t>
  </si>
  <si>
    <t xml:space="preserve"> Z₁ = isNormCabin</t>
  </si>
  <si>
    <t>Z₂ = Customer_Cat_B</t>
  </si>
  <si>
    <t>(X * Z₁) = price_x_cabin interaction</t>
  </si>
  <si>
    <t>(X * Z₂) = price_x_customer interaction</t>
  </si>
  <si>
    <t>Model 2 (MultiSegment Regression)</t>
  </si>
  <si>
    <t>Model 1 (Log Linear Demand Model)</t>
  </si>
  <si>
    <t>LN(X) = ln_price (natural log of ticket price)</t>
  </si>
  <si>
    <t>β₁ = price elasticity of demand</t>
  </si>
  <si>
    <t>Z₁, Z₂, etc. = Control variables (cabin type, customer category, etc.)</t>
  </si>
  <si>
    <t>LN(Y) = ln_seats (natural log of seats sold)</t>
  </si>
  <si>
    <t>Model 1: ln(num_seats_total) = β₀ + β₁ln(mean_net_ticket_price) + β₂(days_advance) +  β₃(isNormCabin) + β₄(Customer_Cat_B) + β₅(isReturn) + β₆(Culmulative_sales) + ε</t>
  </si>
  <si>
    <t>Prices: High volatility (36-61%) = Dynamic pricing in effect &amp; monopoly</t>
  </si>
  <si>
    <t>Checks if 'ln_seats' column and if 'mean_net_ticket_price' has non-zero variation.</t>
  </si>
  <si>
    <t>Checks 'price_x_cabin' column and if both values of 'isNormCabin' have at least 30 rows each to have sufficient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</si>
</sst>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.6"/>
      <color theme="1"/>
      <name val="Segoe UI"/>
      <family val="2"/>
    </font>
    <font>
      <sz val="9.6"/>
      <color theme="1"/>
      <name val="Segoe UI"/>
      <family val="2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7" borderId="0" xfId="0" applyFill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3" fillId="7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5" borderId="0" xfId="0" applyFill="1"/>
    <xf numFmtId="0" fontId="0" fillId="12" borderId="0" xfId="0" applyFill="1"/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0" fontId="2" fillId="10" borderId="0" xfId="0" applyFont="1" applyFill="1" applyAlignment="1">
      <alignment wrapText="1"/>
    </xf>
    <xf numFmtId="0" fontId="3" fillId="10" borderId="0" xfId="0" applyFont="1" applyFill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3" fillId="0" borderId="3" xfId="0" applyFont="1" applyBorder="1" applyAlignment="1">
      <alignment horizontal="center" vertical="top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left" wrapText="1"/>
    </xf>
    <xf numFmtId="0" fontId="2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 wrapText="1"/>
    </xf>
    <xf numFmtId="0" fontId="6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E60815-2207-4083-9E0B-E7D1A98251AC}" name="Table1" displayName="Table1" ref="G1:G5" totalsRowShown="0" headerRowDxfId="1">
  <autoFilter ref="G1:G5" xr:uid="{8CE60815-2207-4083-9E0B-E7D1A98251AC}"/>
  <tableColumns count="1">
    <tableColumn id="1" xr3:uid="{597C11B7-307D-4CC8-B499-89C736704115}" name="1. Price-Quantity Correl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E59D8-5572-4594-AE4B-F0A32979AD90}" name="Table2" displayName="Table2" ref="G7:G13" totalsRowShown="0" headerRowDxfId="0">
  <autoFilter ref="G7:G13" xr:uid="{C74E59D8-5572-4594-AE4B-F0A32979AD90}"/>
  <tableColumns count="1">
    <tableColumn id="1" xr3:uid="{6777017B-9D14-4CC4-A18D-7FD96BEF4103}" name="2. Advance Booking Correl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FECB05-E1C7-4E0C-9BB8-8C3DC88B7F8E}" name="Table3" displayName="Table3" ref="A1:C12" totalsRowShown="0">
  <autoFilter ref="A1:C12" xr:uid="{77FECB05-E1C7-4E0C-9BB8-8C3DC88B7F8E}"/>
  <tableColumns count="3">
    <tableColumn id="1" xr3:uid="{0ED039B2-9127-43D2-88E2-01480943E74B}" name="Metric"/>
    <tableColumn id="2" xr3:uid="{66DEAF8A-E32A-4A38-B6A9-4298BFF145F3}" name="Value"/>
    <tableColumn id="3" xr3:uid="{A31EDC1B-D80C-4C50-BEC2-A264D5D7F841}" name="Mea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tabSelected="1" workbookViewId="0">
      <pane xSplit="1" topLeftCell="G1" activePane="topRight" state="frozen"/>
      <selection pane="topRight" activeCell="J17" sqref="J17"/>
    </sheetView>
  </sheetViews>
  <sheetFormatPr defaultRowHeight="14.25" x14ac:dyDescent="0.45"/>
  <cols>
    <col min="1" max="1" width="33.59765625" style="11" customWidth="1"/>
    <col min="2" max="2" width="14.3984375" bestFit="1" customWidth="1"/>
    <col min="3" max="3" width="19.53125" bestFit="1" customWidth="1"/>
    <col min="4" max="5" width="17.59765625" bestFit="1" customWidth="1"/>
    <col min="6" max="6" width="15.3984375" bestFit="1" customWidth="1"/>
    <col min="7" max="9" width="11.73046875" bestFit="1" customWidth="1"/>
    <col min="10" max="10" width="12.1328125" bestFit="1" customWidth="1"/>
    <col min="11" max="11" width="13.06640625" bestFit="1" customWidth="1"/>
    <col min="12" max="14" width="11.73046875" bestFit="1" customWidth="1"/>
    <col min="15" max="15" width="14.19921875" bestFit="1" customWidth="1"/>
    <col min="16" max="16" width="11.796875" bestFit="1" customWidth="1"/>
    <col min="17" max="17" width="15.19921875" bestFit="1" customWidth="1"/>
    <col min="18" max="18" width="12.59765625" bestFit="1" customWidth="1"/>
    <col min="19" max="19" width="17.59765625" bestFit="1" customWidth="1"/>
    <col min="20" max="20" width="15.59765625" bestFit="1" customWidth="1"/>
    <col min="21" max="21" width="16.6640625" bestFit="1" customWidth="1"/>
  </cols>
  <sheetData>
    <row r="1" spans="1:2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</row>
    <row r="2" spans="1:21" x14ac:dyDescent="0.45">
      <c r="A2" s="15" t="s">
        <v>24</v>
      </c>
      <c r="B2">
        <v>209697</v>
      </c>
      <c r="C2">
        <v>209697</v>
      </c>
      <c r="D2">
        <v>209697</v>
      </c>
      <c r="E2">
        <v>209697</v>
      </c>
      <c r="F2">
        <v>209697</v>
      </c>
      <c r="G2">
        <v>209697</v>
      </c>
      <c r="H2">
        <v>209697</v>
      </c>
      <c r="I2">
        <v>209697</v>
      </c>
      <c r="J2">
        <v>209697</v>
      </c>
      <c r="K2">
        <v>209697</v>
      </c>
      <c r="L2">
        <v>209697</v>
      </c>
      <c r="M2">
        <v>209697</v>
      </c>
      <c r="N2">
        <v>209697</v>
      </c>
      <c r="O2">
        <v>209697</v>
      </c>
      <c r="P2">
        <v>209697</v>
      </c>
      <c r="Q2">
        <v>209697</v>
      </c>
      <c r="R2">
        <v>209697</v>
      </c>
      <c r="S2">
        <v>209697</v>
      </c>
      <c r="T2">
        <v>209697</v>
      </c>
      <c r="U2">
        <v>209697</v>
      </c>
    </row>
    <row r="3" spans="1:21" x14ac:dyDescent="0.45">
      <c r="A3" s="15" t="s">
        <v>25</v>
      </c>
      <c r="B3">
        <v>2.383019308812238</v>
      </c>
      <c r="C3">
        <v>230.1168999293549</v>
      </c>
      <c r="D3" s="2">
        <v>43515.783191938841</v>
      </c>
      <c r="E3" s="2">
        <v>43452.518595878813</v>
      </c>
      <c r="F3">
        <v>15.87506259030887</v>
      </c>
      <c r="G3">
        <v>0.59824890198715286</v>
      </c>
      <c r="H3">
        <v>0.48018331211223808</v>
      </c>
      <c r="I3">
        <v>0.1228725255964558</v>
      </c>
      <c r="J3">
        <v>63.264596060029469</v>
      </c>
      <c r="K3">
        <v>2.383019308812238</v>
      </c>
      <c r="L3">
        <v>230.1168999293549</v>
      </c>
      <c r="M3">
        <v>0.618505472368725</v>
      </c>
      <c r="N3">
        <v>5.2500889334241778</v>
      </c>
      <c r="O3">
        <v>0.77446983027892624</v>
      </c>
      <c r="P3">
        <v>86.401649626706117</v>
      </c>
      <c r="Q3">
        <v>149.86727992702461</v>
      </c>
      <c r="R3">
        <v>108.0319628603761</v>
      </c>
      <c r="S3">
        <v>161.21091814923579</v>
      </c>
      <c r="T3">
        <v>8.216556946293224</v>
      </c>
      <c r="U3">
        <v>489.19236183471821</v>
      </c>
    </row>
    <row r="4" spans="1:21" x14ac:dyDescent="0.45">
      <c r="A4" s="15" t="s">
        <v>26</v>
      </c>
      <c r="B4">
        <v>1</v>
      </c>
      <c r="C4">
        <v>1.2789690819999999</v>
      </c>
      <c r="D4" s="2">
        <v>43252</v>
      </c>
      <c r="E4" s="2">
        <v>43252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1.2789690819999999</v>
      </c>
      <c r="M4">
        <v>0</v>
      </c>
      <c r="N4">
        <v>0.2460543487314161</v>
      </c>
      <c r="O4">
        <v>0</v>
      </c>
      <c r="P4">
        <v>0</v>
      </c>
      <c r="Q4">
        <v>0</v>
      </c>
      <c r="R4">
        <v>0</v>
      </c>
      <c r="S4">
        <v>1.2789690819999999</v>
      </c>
      <c r="T4">
        <v>6.6666666666666666E-2</v>
      </c>
      <c r="U4">
        <v>1.2789690819999999</v>
      </c>
    </row>
    <row r="5" spans="1:21" x14ac:dyDescent="0.45">
      <c r="A5" s="15" t="s">
        <v>27</v>
      </c>
      <c r="B5">
        <v>1</v>
      </c>
      <c r="C5">
        <v>108.8701928</v>
      </c>
      <c r="D5" s="2">
        <v>43409</v>
      </c>
      <c r="E5" s="2">
        <v>43350</v>
      </c>
      <c r="F5">
        <v>3</v>
      </c>
      <c r="G5">
        <v>0</v>
      </c>
      <c r="H5">
        <v>0</v>
      </c>
      <c r="I5">
        <v>0</v>
      </c>
      <c r="J5">
        <v>15</v>
      </c>
      <c r="K5">
        <v>1</v>
      </c>
      <c r="L5">
        <v>108.8701928</v>
      </c>
      <c r="M5">
        <v>0</v>
      </c>
      <c r="N5">
        <v>4.6901562808109656</v>
      </c>
      <c r="O5">
        <v>1</v>
      </c>
      <c r="P5">
        <v>0</v>
      </c>
      <c r="Q5">
        <v>83.504625770000004</v>
      </c>
      <c r="R5">
        <v>0</v>
      </c>
      <c r="S5">
        <v>46.453299829999999</v>
      </c>
      <c r="T5">
        <v>1.5</v>
      </c>
      <c r="U5">
        <v>198.72985439999999</v>
      </c>
    </row>
    <row r="6" spans="1:21" x14ac:dyDescent="0.45">
      <c r="A6" s="15" t="s">
        <v>28</v>
      </c>
      <c r="B6">
        <v>2</v>
      </c>
      <c r="C6">
        <v>186.28219949999999</v>
      </c>
      <c r="D6" s="2">
        <v>43517</v>
      </c>
      <c r="E6" s="2">
        <v>43453</v>
      </c>
      <c r="F6">
        <v>8</v>
      </c>
      <c r="G6">
        <v>1</v>
      </c>
      <c r="H6">
        <v>0</v>
      </c>
      <c r="I6">
        <v>0</v>
      </c>
      <c r="J6">
        <v>39</v>
      </c>
      <c r="K6">
        <v>2</v>
      </c>
      <c r="L6">
        <v>186.28219949999999</v>
      </c>
      <c r="M6">
        <v>0.69314718055994529</v>
      </c>
      <c r="N6">
        <v>5.2272627255385631</v>
      </c>
      <c r="O6">
        <v>1</v>
      </c>
      <c r="P6">
        <v>92.246539010000006</v>
      </c>
      <c r="Q6">
        <v>114.1076367</v>
      </c>
      <c r="R6">
        <v>0</v>
      </c>
      <c r="S6">
        <v>108.35324919999999</v>
      </c>
      <c r="T6">
        <v>4</v>
      </c>
      <c r="U6">
        <v>351.94448210000002</v>
      </c>
    </row>
    <row r="7" spans="1:21" x14ac:dyDescent="0.45">
      <c r="A7" s="15" t="s">
        <v>29</v>
      </c>
      <c r="B7">
        <v>3</v>
      </c>
      <c r="C7">
        <v>350.4094814</v>
      </c>
      <c r="D7" s="2">
        <v>43612</v>
      </c>
      <c r="E7" s="2">
        <v>43557</v>
      </c>
      <c r="F7">
        <v>21</v>
      </c>
      <c r="G7">
        <v>1</v>
      </c>
      <c r="H7">
        <v>1</v>
      </c>
      <c r="I7">
        <v>0</v>
      </c>
      <c r="J7">
        <v>91</v>
      </c>
      <c r="K7">
        <v>3</v>
      </c>
      <c r="L7">
        <v>350.4094814</v>
      </c>
      <c r="M7">
        <v>1.09861228866811</v>
      </c>
      <c r="N7">
        <v>5.8591024174861079</v>
      </c>
      <c r="O7">
        <v>1</v>
      </c>
      <c r="P7">
        <v>132.23367690000001</v>
      </c>
      <c r="Q7">
        <v>196.30661699999999</v>
      </c>
      <c r="R7">
        <v>184.3005186</v>
      </c>
      <c r="S7">
        <v>242.21826429999999</v>
      </c>
      <c r="T7">
        <v>9.5</v>
      </c>
      <c r="U7">
        <v>572.43655720000004</v>
      </c>
    </row>
    <row r="8" spans="1:21" x14ac:dyDescent="0.45">
      <c r="A8" s="15" t="s">
        <v>30</v>
      </c>
      <c r="B8">
        <v>66</v>
      </c>
      <c r="C8">
        <v>7855.766106</v>
      </c>
      <c r="D8" s="2">
        <v>43995</v>
      </c>
      <c r="E8" s="2">
        <v>43646</v>
      </c>
      <c r="F8">
        <v>187</v>
      </c>
      <c r="G8">
        <v>1</v>
      </c>
      <c r="H8">
        <v>1</v>
      </c>
      <c r="I8">
        <v>1</v>
      </c>
      <c r="J8">
        <v>364</v>
      </c>
      <c r="K8">
        <v>66</v>
      </c>
      <c r="L8">
        <v>7855.766106</v>
      </c>
      <c r="M8">
        <v>4.1896547420264252</v>
      </c>
      <c r="N8">
        <v>8.9690030769332463</v>
      </c>
      <c r="O8">
        <v>1</v>
      </c>
      <c r="P8">
        <v>1251.1886079999999</v>
      </c>
      <c r="Q8">
        <v>1251.1886079999999</v>
      </c>
      <c r="R8">
        <v>1251.1886079999999</v>
      </c>
      <c r="S8">
        <v>7855.766106</v>
      </c>
      <c r="T8">
        <v>187</v>
      </c>
      <c r="U8">
        <v>18005.544721499999</v>
      </c>
    </row>
    <row r="9" spans="1:21" x14ac:dyDescent="0.45">
      <c r="A9" s="15" t="s">
        <v>31</v>
      </c>
      <c r="B9">
        <v>2.0833239096884091</v>
      </c>
      <c r="C9">
        <v>147.02478437895471</v>
      </c>
      <c r="F9">
        <v>19.795677244747779</v>
      </c>
      <c r="G9">
        <v>0.49025330129208627</v>
      </c>
      <c r="H9">
        <v>0.49960833580964958</v>
      </c>
      <c r="I9">
        <v>0.32829161123561551</v>
      </c>
      <c r="J9">
        <v>65.050758666684388</v>
      </c>
      <c r="K9">
        <v>2.0833239096884091</v>
      </c>
      <c r="L9">
        <v>147.02478437895471</v>
      </c>
      <c r="M9">
        <v>0.66147138238874015</v>
      </c>
      <c r="N9">
        <v>0.60897100392181691</v>
      </c>
      <c r="O9">
        <v>0.41793198635279888</v>
      </c>
      <c r="P9">
        <v>88.168766514598019</v>
      </c>
      <c r="Q9">
        <v>139.25316336882889</v>
      </c>
      <c r="R9">
        <v>147.4635771720427</v>
      </c>
      <c r="S9">
        <v>147.81324431951509</v>
      </c>
      <c r="T9">
        <v>12.02210378018421</v>
      </c>
      <c r="U9">
        <v>522.34430311509311</v>
      </c>
    </row>
    <row r="10" spans="1:21" x14ac:dyDescent="0.45">
      <c r="A10" s="27" t="s">
        <v>123</v>
      </c>
      <c r="B10">
        <f>ABS(((B3-B9)/B3)*100)</f>
        <v>12.576289164572707</v>
      </c>
      <c r="C10">
        <f>ABS(((C3-C9)/C3)*100)</f>
        <v>36.108654156174183</v>
      </c>
      <c r="F10">
        <f t="shared" ref="F10:U10" si="0">ABS(((F3-F9)/F3)*100)</f>
        <v>24.696687853264258</v>
      </c>
      <c r="G10">
        <f t="shared" si="0"/>
        <v>18.051951342718176</v>
      </c>
      <c r="H10">
        <f t="shared" si="0"/>
        <v>4.0453350225696925</v>
      </c>
      <c r="I10">
        <f t="shared" si="0"/>
        <v>167.18064892212564</v>
      </c>
      <c r="J10">
        <f t="shared" si="0"/>
        <v>2.8233209692196479</v>
      </c>
      <c r="K10">
        <f t="shared" si="0"/>
        <v>12.576289164572707</v>
      </c>
      <c r="L10">
        <f t="shared" si="0"/>
        <v>36.108654156174183</v>
      </c>
      <c r="M10">
        <f t="shared" si="0"/>
        <v>6.9467307791903936</v>
      </c>
      <c r="N10">
        <f t="shared" si="0"/>
        <v>88.400748794084933</v>
      </c>
      <c r="O10">
        <f t="shared" si="0"/>
        <v>46.036376110057098</v>
      </c>
      <c r="P10">
        <f t="shared" si="0"/>
        <v>2.0452351263276101</v>
      </c>
      <c r="Q10">
        <f t="shared" si="0"/>
        <v>7.0823441670283778</v>
      </c>
      <c r="R10">
        <f t="shared" si="0"/>
        <v>36.499951743568026</v>
      </c>
      <c r="S10">
        <f t="shared" si="0"/>
        <v>8.3106491691327253</v>
      </c>
      <c r="T10">
        <f t="shared" si="0"/>
        <v>46.31559007946511</v>
      </c>
      <c r="U10">
        <f t="shared" si="0"/>
        <v>6.7768722218062418</v>
      </c>
    </row>
    <row r="11" spans="1:21" x14ac:dyDescent="0.45">
      <c r="A11" s="28" t="s">
        <v>124</v>
      </c>
      <c r="B11" s="16" t="s">
        <v>108</v>
      </c>
      <c r="C11" s="16" t="s">
        <v>99</v>
      </c>
      <c r="D11" s="16"/>
      <c r="E11" s="16"/>
      <c r="F11" s="16" t="s">
        <v>108</v>
      </c>
      <c r="G11" s="16" t="s">
        <v>108</v>
      </c>
      <c r="H11" s="16" t="s">
        <v>109</v>
      </c>
      <c r="I11" s="16" t="s">
        <v>99</v>
      </c>
      <c r="J11" s="16" t="s">
        <v>109</v>
      </c>
      <c r="K11" s="16" t="s">
        <v>108</v>
      </c>
      <c r="L11" s="16" t="s">
        <v>99</v>
      </c>
      <c r="M11" s="16" t="s">
        <v>109</v>
      </c>
      <c r="N11" s="16" t="s">
        <v>99</v>
      </c>
      <c r="O11" s="16" t="s">
        <v>99</v>
      </c>
      <c r="P11" s="16" t="s">
        <v>109</v>
      </c>
      <c r="Q11" s="16" t="s">
        <v>109</v>
      </c>
      <c r="R11" s="16" t="s">
        <v>99</v>
      </c>
      <c r="S11" s="16" t="s">
        <v>109</v>
      </c>
      <c r="T11" s="16" t="s">
        <v>99</v>
      </c>
      <c r="U11" s="16" t="s">
        <v>109</v>
      </c>
    </row>
    <row r="14" spans="1:21" x14ac:dyDescent="0.45">
      <c r="A14" s="26" t="s">
        <v>125</v>
      </c>
    </row>
    <row r="16" spans="1:21" x14ac:dyDescent="0.45">
      <c r="A16" s="25" t="s">
        <v>126</v>
      </c>
    </row>
    <row r="17" spans="1:1" ht="28.5" x14ac:dyDescent="0.45">
      <c r="A17" s="12" t="s">
        <v>127</v>
      </c>
    </row>
    <row r="18" spans="1:1" ht="28.5" x14ac:dyDescent="0.45">
      <c r="A18" s="12" t="s">
        <v>128</v>
      </c>
    </row>
    <row r="19" spans="1:1" ht="28.5" x14ac:dyDescent="0.45">
      <c r="A19" s="12" t="s">
        <v>129</v>
      </c>
    </row>
    <row r="21" spans="1:1" ht="28.5" x14ac:dyDescent="0.45">
      <c r="A21" s="25" t="s">
        <v>95</v>
      </c>
    </row>
    <row r="23" spans="1:1" ht="28.5" x14ac:dyDescent="0.45">
      <c r="A23" s="32" t="s">
        <v>155</v>
      </c>
    </row>
    <row r="25" spans="1:1" ht="28.5" x14ac:dyDescent="0.45">
      <c r="A25" s="32" t="s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J18" sqref="J18:K18"/>
    </sheetView>
  </sheetViews>
  <sheetFormatPr defaultRowHeight="14.25" x14ac:dyDescent="0.45"/>
  <cols>
    <col min="1" max="1" width="19.53125" bestFit="1" customWidth="1"/>
    <col min="2" max="2" width="14.3984375" customWidth="1"/>
    <col min="3" max="3" width="19.53125" bestFit="1" customWidth="1"/>
    <col min="4" max="5" width="12.33203125" bestFit="1" customWidth="1"/>
    <col min="6" max="6" width="12.33203125" customWidth="1"/>
    <col min="7" max="7" width="15.3984375" bestFit="1" customWidth="1"/>
    <col min="8" max="9" width="12.33203125" bestFit="1" customWidth="1"/>
    <col min="10" max="10" width="30.86328125" customWidth="1"/>
    <col min="11" max="11" width="38.19921875" customWidth="1"/>
  </cols>
  <sheetData>
    <row r="1" spans="1:11" x14ac:dyDescent="0.45">
      <c r="B1" s="1" t="s">
        <v>0</v>
      </c>
      <c r="C1" s="1" t="s">
        <v>1</v>
      </c>
      <c r="D1" s="1" t="s">
        <v>12</v>
      </c>
      <c r="E1" s="1" t="s">
        <v>13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14</v>
      </c>
      <c r="K1" s="1" t="s">
        <v>20</v>
      </c>
    </row>
    <row r="2" spans="1:11" x14ac:dyDescent="0.45">
      <c r="A2" s="5" t="s">
        <v>0</v>
      </c>
      <c r="B2" s="20">
        <v>1</v>
      </c>
      <c r="C2" s="3">
        <v>-0.193212171619288</v>
      </c>
      <c r="D2" s="9">
        <v>0.90660961816651831</v>
      </c>
      <c r="E2" s="3">
        <v>-0.22752160499862689</v>
      </c>
      <c r="F2" s="3">
        <v>0.20409457767357589</v>
      </c>
      <c r="G2" s="19">
        <v>0.31697044964948889</v>
      </c>
      <c r="H2" s="3">
        <v>0.16888037034884429</v>
      </c>
      <c r="I2" s="3">
        <v>1.5791336663995331E-2</v>
      </c>
      <c r="J2" s="3">
        <v>0.2218599657175849</v>
      </c>
      <c r="K2" s="3">
        <v>-0.14793493430763499</v>
      </c>
    </row>
    <row r="3" spans="1:11" x14ac:dyDescent="0.45">
      <c r="A3" s="8" t="s">
        <v>1</v>
      </c>
      <c r="B3" s="3">
        <v>-0.193212171619288</v>
      </c>
      <c r="C3" s="20">
        <v>1</v>
      </c>
      <c r="D3" s="3">
        <v>-0.24016720861701071</v>
      </c>
      <c r="E3" s="9">
        <v>0.95862417991607496</v>
      </c>
      <c r="F3" s="18">
        <v>-0.50992423729743075</v>
      </c>
      <c r="G3" s="19">
        <v>-0.4034552423867217</v>
      </c>
      <c r="H3" s="22">
        <v>-0.71124048728308431</v>
      </c>
      <c r="I3" s="3">
        <v>-3.357634652489095E-2</v>
      </c>
      <c r="J3" s="19">
        <v>-0.46140164568194469</v>
      </c>
      <c r="K3" s="19">
        <v>-0.29821954733393752</v>
      </c>
    </row>
    <row r="4" spans="1:11" x14ac:dyDescent="0.45">
      <c r="A4" s="6" t="s">
        <v>12</v>
      </c>
      <c r="B4" s="9">
        <v>0.90660961816651831</v>
      </c>
      <c r="C4" s="3">
        <v>-0.24016720861701071</v>
      </c>
      <c r="D4" s="20">
        <v>1</v>
      </c>
      <c r="E4" s="3">
        <v>-0.2817012057261859</v>
      </c>
      <c r="F4" s="3">
        <v>0.241818740009798</v>
      </c>
      <c r="G4" s="19">
        <v>0.33031914430321879</v>
      </c>
      <c r="H4" s="3">
        <v>0.20884482499289991</v>
      </c>
      <c r="I4" s="3">
        <v>1.9574640574132229E-2</v>
      </c>
      <c r="J4" s="3">
        <v>0.28149733516494568</v>
      </c>
      <c r="K4" s="3">
        <v>-0.1662300820085448</v>
      </c>
    </row>
    <row r="5" spans="1:11" x14ac:dyDescent="0.45">
      <c r="A5" s="6" t="s">
        <v>13</v>
      </c>
      <c r="B5" s="3">
        <v>-0.22752160499862689</v>
      </c>
      <c r="C5" s="9">
        <v>0.95862417991607496</v>
      </c>
      <c r="D5" s="3">
        <v>-0.2817012057261859</v>
      </c>
      <c r="E5" s="20">
        <v>1</v>
      </c>
      <c r="F5" s="18">
        <v>-0.5490881276599161</v>
      </c>
      <c r="G5" s="19">
        <v>-0.45994639573499041</v>
      </c>
      <c r="H5" s="22">
        <v>-0.71813640884961283</v>
      </c>
      <c r="I5" s="3">
        <v>-1.8076141861554141E-2</v>
      </c>
      <c r="J5" s="19">
        <v>-0.48508446227490642</v>
      </c>
      <c r="K5" s="19">
        <v>-0.32857841186549958</v>
      </c>
    </row>
    <row r="6" spans="1:11" x14ac:dyDescent="0.45">
      <c r="A6" s="7" t="s">
        <v>9</v>
      </c>
      <c r="B6" s="3">
        <v>0.20409457767357589</v>
      </c>
      <c r="C6" s="18">
        <v>-0.50992423729743075</v>
      </c>
      <c r="D6" s="3">
        <v>0.241818740009798</v>
      </c>
      <c r="E6" s="18">
        <v>-0.5490881276599161</v>
      </c>
      <c r="F6" s="20">
        <v>1</v>
      </c>
      <c r="G6" s="3">
        <v>0.1057643320692816</v>
      </c>
      <c r="H6" s="19">
        <v>0.40460543843912372</v>
      </c>
      <c r="I6" s="3">
        <v>6.3493283068484535E-2</v>
      </c>
      <c r="J6" s="19">
        <v>0.34600224408500718</v>
      </c>
      <c r="K6" s="3">
        <v>1.9289177216290379E-2</v>
      </c>
    </row>
    <row r="7" spans="1:11" x14ac:dyDescent="0.45">
      <c r="A7" s="6" t="s">
        <v>4</v>
      </c>
      <c r="B7" s="19">
        <v>0.31697044964948889</v>
      </c>
      <c r="C7" s="19">
        <v>-0.4034552423867217</v>
      </c>
      <c r="D7" s="19">
        <v>0.33031914430321879</v>
      </c>
      <c r="E7" s="19">
        <v>-0.45994639573499041</v>
      </c>
      <c r="F7" s="3">
        <v>0.1057643320692816</v>
      </c>
      <c r="G7" s="20">
        <v>1</v>
      </c>
      <c r="H7" s="19">
        <v>0.32819948759812401</v>
      </c>
      <c r="I7" s="3">
        <v>4.4336187760051479E-2</v>
      </c>
      <c r="J7" s="3">
        <v>0.25658070684542839</v>
      </c>
      <c r="K7" s="22">
        <v>0.73642520201249917</v>
      </c>
    </row>
    <row r="8" spans="1:11" x14ac:dyDescent="0.45">
      <c r="A8" s="8" t="s">
        <v>5</v>
      </c>
      <c r="B8" s="19">
        <v>0.16888037034884429</v>
      </c>
      <c r="C8" s="9">
        <v>-0.71124048728308431</v>
      </c>
      <c r="D8" s="3">
        <v>0.20884482499289991</v>
      </c>
      <c r="E8" s="9">
        <v>-0.71813640884961283</v>
      </c>
      <c r="F8" s="19">
        <v>0.40460543843912372</v>
      </c>
      <c r="G8" s="19">
        <v>0.32819948759812401</v>
      </c>
      <c r="H8" s="20">
        <v>1</v>
      </c>
      <c r="I8" s="3">
        <v>2.6839459517147848E-2</v>
      </c>
      <c r="J8" s="19">
        <v>0.44524428388072113</v>
      </c>
      <c r="K8" s="3">
        <v>0.25055104946054729</v>
      </c>
    </row>
    <row r="9" spans="1:11" x14ac:dyDescent="0.45">
      <c r="A9" s="4" t="s">
        <v>6</v>
      </c>
      <c r="B9" s="19">
        <v>1.5791336663995331E-2</v>
      </c>
      <c r="C9" s="3">
        <v>-3.357634652489095E-2</v>
      </c>
      <c r="D9" s="3">
        <v>1.9574640574132229E-2</v>
      </c>
      <c r="E9" s="3">
        <v>-1.8076141861554141E-2</v>
      </c>
      <c r="F9" s="3">
        <v>6.3493283068484535E-2</v>
      </c>
      <c r="G9" s="3">
        <v>4.4336187760051479E-2</v>
      </c>
      <c r="H9" s="3">
        <v>2.6839459517147848E-2</v>
      </c>
      <c r="I9" s="20">
        <v>1</v>
      </c>
      <c r="J9" s="3">
        <v>9.3710015978626313E-3</v>
      </c>
      <c r="K9" s="3">
        <v>3.7775822537391257E-2</v>
      </c>
    </row>
    <row r="10" spans="1:11" x14ac:dyDescent="0.45">
      <c r="A10" s="6" t="s">
        <v>14</v>
      </c>
      <c r="B10" s="19">
        <v>0.2218599657175849</v>
      </c>
      <c r="C10" s="19">
        <v>-0.46140164568194469</v>
      </c>
      <c r="D10" s="3">
        <v>0.28149733516494568</v>
      </c>
      <c r="E10" s="19">
        <v>-0.48508446227490642</v>
      </c>
      <c r="F10" s="19">
        <v>0.34600224408500718</v>
      </c>
      <c r="G10" s="3">
        <v>0.25658070684542839</v>
      </c>
      <c r="H10" s="19">
        <v>0.44524428388072113</v>
      </c>
      <c r="I10" s="3">
        <v>9.3710015978626313E-3</v>
      </c>
      <c r="J10" s="20">
        <v>1</v>
      </c>
      <c r="K10" s="3">
        <v>0.14912398264331189</v>
      </c>
    </row>
    <row r="11" spans="1:11" x14ac:dyDescent="0.45">
      <c r="A11" s="5" t="s">
        <v>20</v>
      </c>
      <c r="B11" s="19">
        <v>-0.14793493430763499</v>
      </c>
      <c r="C11" s="3">
        <v>-0.29821954733393752</v>
      </c>
      <c r="D11" s="3">
        <v>-0.1662300820085448</v>
      </c>
      <c r="E11" s="19">
        <v>-0.32857841186549958</v>
      </c>
      <c r="F11" s="3">
        <v>1.9289177216290379E-2</v>
      </c>
      <c r="G11" s="22">
        <v>0.73642520201249917</v>
      </c>
      <c r="H11" s="3">
        <v>0.25055104946054729</v>
      </c>
      <c r="I11" s="3">
        <v>3.7775822537391257E-2</v>
      </c>
      <c r="J11" s="3">
        <v>0.14912398264331189</v>
      </c>
      <c r="K11" s="20">
        <v>1</v>
      </c>
    </row>
    <row r="16" spans="1:11" ht="14.25" customHeight="1" x14ac:dyDescent="0.45">
      <c r="C16" s="41" t="s">
        <v>130</v>
      </c>
      <c r="D16" s="41"/>
      <c r="F16" s="17" t="s">
        <v>116</v>
      </c>
      <c r="G16" s="17"/>
      <c r="H16" s="17"/>
      <c r="J16" s="17" t="s">
        <v>173</v>
      </c>
      <c r="K16" s="17"/>
    </row>
    <row r="17" spans="3:11" x14ac:dyDescent="0.45">
      <c r="C17" s="41"/>
      <c r="D17" s="41"/>
      <c r="F17" s="17" t="s">
        <v>117</v>
      </c>
      <c r="G17" s="17"/>
      <c r="H17" s="17"/>
      <c r="J17" s="16"/>
      <c r="K17" s="16"/>
    </row>
    <row r="18" spans="3:11" x14ac:dyDescent="0.45">
      <c r="C18" s="41"/>
      <c r="D18" s="41"/>
      <c r="F18" s="17" t="s">
        <v>118</v>
      </c>
      <c r="G18" s="17"/>
      <c r="H18" s="17"/>
      <c r="J18" s="39" t="s">
        <v>174</v>
      </c>
      <c r="K18" s="39"/>
    </row>
    <row r="19" spans="3:11" x14ac:dyDescent="0.45">
      <c r="C19" s="41"/>
      <c r="D19" s="41"/>
      <c r="F19" s="17" t="s">
        <v>119</v>
      </c>
      <c r="G19" s="17"/>
      <c r="H19" s="17"/>
      <c r="J19" s="39" t="s">
        <v>175</v>
      </c>
      <c r="K19" s="39"/>
    </row>
    <row r="20" spans="3:11" x14ac:dyDescent="0.45">
      <c r="C20" s="41"/>
      <c r="D20" s="41"/>
      <c r="F20" s="17" t="s">
        <v>120</v>
      </c>
      <c r="G20" s="17"/>
      <c r="H20" s="17"/>
      <c r="J20" s="40" t="s">
        <v>176</v>
      </c>
      <c r="K20" s="40"/>
    </row>
    <row r="21" spans="3:11" x14ac:dyDescent="0.45">
      <c r="C21" s="41"/>
      <c r="D21" s="41"/>
      <c r="F21" s="17" t="s">
        <v>121</v>
      </c>
      <c r="G21" s="17"/>
      <c r="H21" s="17"/>
      <c r="J21" s="40"/>
      <c r="K21" s="40"/>
    </row>
    <row r="22" spans="3:11" x14ac:dyDescent="0.45">
      <c r="F22" s="17" t="s">
        <v>122</v>
      </c>
      <c r="G22" s="17"/>
      <c r="H22" s="17"/>
    </row>
  </sheetData>
  <mergeCells count="4">
    <mergeCell ref="J18:K18"/>
    <mergeCell ref="J19:K19"/>
    <mergeCell ref="J20:K21"/>
    <mergeCell ref="C16:D2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activeCell="A9" sqref="A9"/>
    </sheetView>
  </sheetViews>
  <sheetFormatPr defaultRowHeight="14.25" x14ac:dyDescent="0.45"/>
  <cols>
    <col min="1" max="1" width="11.1328125" bestFit="1" customWidth="1"/>
    <col min="2" max="2" width="20" bestFit="1" customWidth="1"/>
    <col min="3" max="3" width="17.9296875" bestFit="1" customWidth="1"/>
    <col min="4" max="4" width="26.73046875" bestFit="1" customWidth="1"/>
    <col min="5" max="5" width="19.796875" bestFit="1" customWidth="1"/>
    <col min="6" max="6" width="20.06640625" bestFit="1" customWidth="1"/>
    <col min="7" max="7" width="25.19921875" bestFit="1" customWidth="1"/>
    <col min="8" max="8" width="23.06640625" bestFit="1" customWidth="1"/>
    <col min="9" max="9" width="27.33203125" bestFit="1" customWidth="1"/>
    <col min="10" max="10" width="18.53125" bestFit="1" customWidth="1"/>
    <col min="11" max="11" width="21.19921875" bestFit="1" customWidth="1"/>
    <col min="12" max="12" width="22.33203125" bestFit="1" customWidth="1"/>
    <col min="13" max="13" width="17.796875" bestFit="1" customWidth="1"/>
    <col min="14" max="14" width="11.6640625" bestFit="1" customWidth="1"/>
  </cols>
  <sheetData>
    <row r="1" spans="1:14" x14ac:dyDescent="0.45">
      <c r="A1" s="1" t="s">
        <v>5</v>
      </c>
      <c r="B1" s="1" t="s">
        <v>32</v>
      </c>
      <c r="C1" s="10" t="s">
        <v>33</v>
      </c>
      <c r="D1" s="14" t="s">
        <v>101</v>
      </c>
      <c r="E1" s="14" t="s">
        <v>104</v>
      </c>
      <c r="F1" s="1" t="s">
        <v>34</v>
      </c>
      <c r="G1" s="10" t="s">
        <v>35</v>
      </c>
      <c r="H1" s="1" t="s">
        <v>36</v>
      </c>
      <c r="I1" s="14" t="s">
        <v>102</v>
      </c>
      <c r="J1" s="14" t="s">
        <v>103</v>
      </c>
      <c r="K1" s="1" t="s">
        <v>37</v>
      </c>
      <c r="L1" s="1" t="s">
        <v>38</v>
      </c>
      <c r="M1" s="1" t="s">
        <v>39</v>
      </c>
      <c r="N1" s="33" t="s">
        <v>157</v>
      </c>
    </row>
    <row r="2" spans="1:14" x14ac:dyDescent="0.45">
      <c r="A2" s="1">
        <v>0</v>
      </c>
      <c r="B2">
        <v>1.954</v>
      </c>
      <c r="C2">
        <v>1.6870000000000001</v>
      </c>
      <c r="D2">
        <f>ABS(((B2-C2)/B2)*100)</f>
        <v>13.664278403275329</v>
      </c>
      <c r="E2" t="s">
        <v>110</v>
      </c>
      <c r="F2">
        <v>84246</v>
      </c>
      <c r="G2">
        <v>357.72199999999998</v>
      </c>
      <c r="H2">
        <v>140.41399999999999</v>
      </c>
      <c r="I2">
        <f>ABS(((G2-H2)/G2)*100)</f>
        <v>60.74773147863425</v>
      </c>
      <c r="J2" t="s">
        <v>100</v>
      </c>
      <c r="K2">
        <v>56973288.633000001</v>
      </c>
      <c r="L2">
        <v>676.27300000000002</v>
      </c>
      <c r="M2">
        <v>31.146999999999998</v>
      </c>
      <c r="N2" s="34">
        <v>0.40200000000000002</v>
      </c>
    </row>
    <row r="3" spans="1:14" x14ac:dyDescent="0.45">
      <c r="A3" s="1">
        <v>1</v>
      </c>
      <c r="B3">
        <v>2.6709999999999998</v>
      </c>
      <c r="C3">
        <v>2.266</v>
      </c>
      <c r="D3">
        <f>ABS(((B3-C3)/B3)*100)</f>
        <v>15.162860351928112</v>
      </c>
      <c r="E3" t="s">
        <v>110</v>
      </c>
      <c r="F3">
        <v>125451</v>
      </c>
      <c r="G3">
        <v>144.42400000000001</v>
      </c>
      <c r="H3">
        <v>67.927999999999997</v>
      </c>
      <c r="I3">
        <f>ABS(((G3-H3)/G3)*100)</f>
        <v>52.96626599457155</v>
      </c>
      <c r="J3" t="s">
        <v>100</v>
      </c>
      <c r="K3">
        <v>45608882.066</v>
      </c>
      <c r="L3">
        <v>363.55900000000003</v>
      </c>
      <c r="M3">
        <v>84.832999999999998</v>
      </c>
      <c r="N3" s="34">
        <v>0.59799999999999998</v>
      </c>
    </row>
    <row r="6" spans="1:14" ht="14.25" customHeight="1" x14ac:dyDescent="0.45">
      <c r="A6" s="42" t="s">
        <v>177</v>
      </c>
      <c r="B6" s="42"/>
      <c r="C6" s="42"/>
      <c r="D6" s="42"/>
      <c r="G6" s="43" t="s">
        <v>158</v>
      </c>
      <c r="H6" s="43"/>
    </row>
    <row r="7" spans="1:14" x14ac:dyDescent="0.45">
      <c r="A7" s="42"/>
      <c r="B7" s="42"/>
      <c r="C7" s="42"/>
      <c r="D7" s="42"/>
      <c r="G7" s="40" t="s">
        <v>159</v>
      </c>
      <c r="H7" s="40"/>
    </row>
    <row r="8" spans="1:14" x14ac:dyDescent="0.45">
      <c r="A8" s="42"/>
      <c r="B8" s="42"/>
      <c r="C8" s="42"/>
      <c r="D8" s="42"/>
      <c r="G8" s="40"/>
      <c r="H8" s="40"/>
    </row>
    <row r="9" spans="1:14" x14ac:dyDescent="0.45">
      <c r="A9" s="30"/>
      <c r="B9" s="11"/>
      <c r="G9" s="40" t="s">
        <v>160</v>
      </c>
      <c r="H9" s="40"/>
    </row>
    <row r="10" spans="1:14" x14ac:dyDescent="0.45">
      <c r="A10" s="24"/>
      <c r="G10" s="40"/>
      <c r="H10" s="40"/>
    </row>
    <row r="11" spans="1:14" x14ac:dyDescent="0.45">
      <c r="G11" s="40" t="s">
        <v>161</v>
      </c>
      <c r="H11" s="40"/>
    </row>
    <row r="12" spans="1:14" x14ac:dyDescent="0.45">
      <c r="A12" s="13" t="s">
        <v>111</v>
      </c>
      <c r="B12" s="13"/>
      <c r="C12" s="13"/>
      <c r="G12" s="40"/>
      <c r="H12" s="40"/>
    </row>
    <row r="13" spans="1:14" x14ac:dyDescent="0.45">
      <c r="A13" s="13" t="s">
        <v>112</v>
      </c>
      <c r="B13" s="13"/>
      <c r="C13" s="13"/>
    </row>
    <row r="14" spans="1:14" x14ac:dyDescent="0.45">
      <c r="A14" s="13" t="s">
        <v>113</v>
      </c>
      <c r="B14" s="13"/>
      <c r="C14" s="13"/>
    </row>
  </sheetData>
  <mergeCells count="5">
    <mergeCell ref="A6:D8"/>
    <mergeCell ref="G7:H8"/>
    <mergeCell ref="G9:H10"/>
    <mergeCell ref="G11:H12"/>
    <mergeCell ref="G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workbookViewId="0">
      <selection activeCell="A11" sqref="A11:C16"/>
    </sheetView>
  </sheetViews>
  <sheetFormatPr defaultRowHeight="14.25" x14ac:dyDescent="0.45"/>
  <cols>
    <col min="1" max="1" width="12.1328125" bestFit="1" customWidth="1"/>
    <col min="2" max="2" width="20" bestFit="1" customWidth="1"/>
    <col min="3" max="3" width="17.9296875" bestFit="1" customWidth="1"/>
    <col min="4" max="4" width="26.1328125" bestFit="1" customWidth="1"/>
    <col min="5" max="5" width="19.796875" bestFit="1" customWidth="1"/>
    <col min="6" max="6" width="20.06640625" bestFit="1" customWidth="1"/>
    <col min="7" max="7" width="25.19921875" bestFit="1" customWidth="1"/>
    <col min="8" max="8" width="23.06640625" bestFit="1" customWidth="1"/>
    <col min="9" max="9" width="26.73046875" bestFit="1" customWidth="1"/>
    <col min="10" max="10" width="21.86328125" bestFit="1" customWidth="1"/>
    <col min="11" max="11" width="21.19921875" bestFit="1" customWidth="1"/>
    <col min="12" max="12" width="22.33203125" bestFit="1" customWidth="1"/>
    <col min="13" max="13" width="17.796875" bestFit="1" customWidth="1"/>
    <col min="14" max="14" width="12.6640625" bestFit="1" customWidth="1"/>
    <col min="15" max="15" width="11.33203125" bestFit="1" customWidth="1"/>
  </cols>
  <sheetData>
    <row r="1" spans="1:15" ht="15" x14ac:dyDescent="0.45">
      <c r="A1" s="1" t="s">
        <v>8</v>
      </c>
      <c r="B1" s="1" t="s">
        <v>32</v>
      </c>
      <c r="C1" s="1" t="s">
        <v>33</v>
      </c>
      <c r="D1" s="14" t="s">
        <v>107</v>
      </c>
      <c r="E1" s="14" t="s">
        <v>104</v>
      </c>
      <c r="F1" s="1" t="s">
        <v>34</v>
      </c>
      <c r="G1" s="1" t="s">
        <v>35</v>
      </c>
      <c r="H1" s="1" t="s">
        <v>36</v>
      </c>
      <c r="I1" s="14" t="s">
        <v>105</v>
      </c>
      <c r="J1" s="14" t="s">
        <v>106</v>
      </c>
      <c r="K1" s="1" t="s">
        <v>37</v>
      </c>
      <c r="L1" s="1" t="s">
        <v>38</v>
      </c>
      <c r="M1" s="1" t="s">
        <v>39</v>
      </c>
      <c r="N1" s="35" t="s">
        <v>163</v>
      </c>
      <c r="O1" s="24" t="s">
        <v>157</v>
      </c>
    </row>
    <row r="2" spans="1:15" ht="15" x14ac:dyDescent="0.45">
      <c r="A2" s="1" t="s">
        <v>22</v>
      </c>
      <c r="B2">
        <v>1.5269999999999999</v>
      </c>
      <c r="C2">
        <v>1.155</v>
      </c>
      <c r="D2">
        <f>ABS(((B2-C2)/B2)*100)</f>
        <v>24.361493123772096</v>
      </c>
      <c r="E2" t="s">
        <v>110</v>
      </c>
      <c r="F2">
        <v>47293</v>
      </c>
      <c r="G2">
        <v>355.827</v>
      </c>
      <c r="H2">
        <v>135.87200000000001</v>
      </c>
      <c r="I2">
        <f>ABS(((G2-H2)/G2)*100)</f>
        <v>61.815151745089601</v>
      </c>
      <c r="J2" t="s">
        <v>114</v>
      </c>
      <c r="K2">
        <v>26696889.407000002</v>
      </c>
      <c r="L2">
        <v>564.5</v>
      </c>
      <c r="M2">
        <v>21.556000000000001</v>
      </c>
      <c r="N2">
        <v>1.53</v>
      </c>
      <c r="O2" s="37">
        <v>0.22600000000000001</v>
      </c>
    </row>
    <row r="3" spans="1:15" ht="15" x14ac:dyDescent="0.45">
      <c r="A3" s="1" t="s">
        <v>23</v>
      </c>
      <c r="B3">
        <v>2.6320000000000001</v>
      </c>
      <c r="C3">
        <v>2.2229999999999999</v>
      </c>
      <c r="D3">
        <f>ABS(((B3-C3)/B3)*100)</f>
        <v>15.539513677811559</v>
      </c>
      <c r="E3" t="s">
        <v>110</v>
      </c>
      <c r="F3">
        <v>162404</v>
      </c>
      <c r="G3">
        <v>193.51</v>
      </c>
      <c r="H3">
        <v>128.81399999999999</v>
      </c>
      <c r="I3">
        <f>ABS(((G3-H3)/G3)*100)</f>
        <v>33.432897524675724</v>
      </c>
      <c r="J3" t="s">
        <v>115</v>
      </c>
      <c r="K3">
        <v>75885281.291999996</v>
      </c>
      <c r="L3">
        <v>467.262</v>
      </c>
      <c r="M3">
        <v>75.411000000000001</v>
      </c>
      <c r="N3" s="36">
        <v>2.63</v>
      </c>
      <c r="O3" s="37">
        <v>0.77400000000000002</v>
      </c>
    </row>
    <row r="6" spans="1:15" x14ac:dyDescent="0.45">
      <c r="G6" s="44" t="s">
        <v>158</v>
      </c>
      <c r="H6" s="44"/>
    </row>
    <row r="7" spans="1:15" x14ac:dyDescent="0.45">
      <c r="A7" s="31" t="s">
        <v>111</v>
      </c>
      <c r="B7" s="21"/>
      <c r="C7" s="21"/>
      <c r="G7" s="40" t="s">
        <v>162</v>
      </c>
      <c r="H7" s="40"/>
    </row>
    <row r="8" spans="1:15" x14ac:dyDescent="0.45">
      <c r="A8" s="31" t="s">
        <v>112</v>
      </c>
      <c r="B8" s="21"/>
      <c r="C8" s="21"/>
      <c r="G8" s="40"/>
      <c r="H8" s="40"/>
    </row>
    <row r="9" spans="1:15" x14ac:dyDescent="0.45">
      <c r="A9" s="31" t="s">
        <v>113</v>
      </c>
      <c r="B9" s="21"/>
      <c r="C9" s="21"/>
      <c r="G9" s="40" t="s">
        <v>164</v>
      </c>
      <c r="H9" s="40"/>
    </row>
    <row r="10" spans="1:15" x14ac:dyDescent="0.45">
      <c r="G10" s="40"/>
      <c r="H10" s="40"/>
    </row>
    <row r="11" spans="1:15" ht="14.25" customHeight="1" x14ac:dyDescent="0.45">
      <c r="A11" s="41" t="s">
        <v>178</v>
      </c>
      <c r="B11" s="41"/>
      <c r="C11" s="41"/>
      <c r="G11" s="40" t="s">
        <v>165</v>
      </c>
      <c r="H11" s="40"/>
    </row>
    <row r="12" spans="1:15" x14ac:dyDescent="0.45">
      <c r="A12" s="41"/>
      <c r="B12" s="41"/>
      <c r="C12" s="41"/>
      <c r="G12" s="40"/>
      <c r="H12" s="40"/>
    </row>
    <row r="13" spans="1:15" x14ac:dyDescent="0.45">
      <c r="A13" s="41"/>
      <c r="B13" s="41"/>
      <c r="C13" s="41"/>
    </row>
    <row r="14" spans="1:15" x14ac:dyDescent="0.45">
      <c r="A14" s="41"/>
      <c r="B14" s="41"/>
      <c r="C14" s="41"/>
    </row>
    <row r="15" spans="1:15" x14ac:dyDescent="0.45">
      <c r="A15" s="41"/>
      <c r="B15" s="41"/>
      <c r="C15" s="41"/>
      <c r="D15" s="30"/>
      <c r="E15" s="30"/>
    </row>
    <row r="16" spans="1:15" x14ac:dyDescent="0.45">
      <c r="A16" s="41"/>
      <c r="B16" s="41"/>
      <c r="C16" s="41"/>
    </row>
  </sheetData>
  <mergeCells count="5">
    <mergeCell ref="G6:H6"/>
    <mergeCell ref="A11:C16"/>
    <mergeCell ref="G7:H8"/>
    <mergeCell ref="G9:H10"/>
    <mergeCell ref="G11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zoomScaleNormal="100" workbookViewId="0">
      <selection activeCell="D11" sqref="D11"/>
    </sheetView>
  </sheetViews>
  <sheetFormatPr defaultRowHeight="14.25" x14ac:dyDescent="0.45"/>
  <cols>
    <col min="1" max="1" width="22.796875" bestFit="1" customWidth="1"/>
    <col min="2" max="2" width="5.796875" bestFit="1" customWidth="1"/>
    <col min="3" max="3" width="16.73046875" bestFit="1" customWidth="1"/>
    <col min="4" max="4" width="40.46484375" customWidth="1"/>
  </cols>
  <sheetData>
    <row r="1" spans="1:4" x14ac:dyDescent="0.45">
      <c r="A1" s="1" t="s">
        <v>40</v>
      </c>
      <c r="B1" s="1" t="s">
        <v>41</v>
      </c>
      <c r="C1" s="1" t="s">
        <v>42</v>
      </c>
      <c r="D1" s="23" t="s">
        <v>131</v>
      </c>
    </row>
    <row r="2" spans="1:4" x14ac:dyDescent="0.45">
      <c r="A2" t="s">
        <v>43</v>
      </c>
      <c r="B2" t="s">
        <v>44</v>
      </c>
      <c r="C2">
        <v>0</v>
      </c>
    </row>
    <row r="3" spans="1:4" x14ac:dyDescent="0.45">
      <c r="A3" t="s">
        <v>45</v>
      </c>
      <c r="B3" t="s">
        <v>44</v>
      </c>
      <c r="C3">
        <v>0</v>
      </c>
    </row>
    <row r="4" spans="1:4" x14ac:dyDescent="0.45">
      <c r="A4" t="s">
        <v>46</v>
      </c>
      <c r="B4" t="s">
        <v>44</v>
      </c>
      <c r="C4">
        <v>0</v>
      </c>
    </row>
    <row r="5" spans="1:4" x14ac:dyDescent="0.45">
      <c r="A5" t="s">
        <v>47</v>
      </c>
      <c r="B5" t="s">
        <v>44</v>
      </c>
      <c r="C5" t="s">
        <v>48</v>
      </c>
      <c r="D5" t="s">
        <v>151</v>
      </c>
    </row>
    <row r="6" spans="1:4" x14ac:dyDescent="0.45">
      <c r="A6" t="s">
        <v>49</v>
      </c>
      <c r="B6" t="s">
        <v>44</v>
      </c>
      <c r="C6" t="b">
        <v>1</v>
      </c>
      <c r="D6" t="s">
        <v>152</v>
      </c>
    </row>
    <row r="7" spans="1:4" x14ac:dyDescent="0.45">
      <c r="A7" t="s">
        <v>50</v>
      </c>
      <c r="B7" t="s">
        <v>44</v>
      </c>
      <c r="C7">
        <v>209697</v>
      </c>
    </row>
    <row r="8" spans="1:4" x14ac:dyDescent="0.45">
      <c r="A8" t="s">
        <v>51</v>
      </c>
      <c r="B8" t="s">
        <v>44</v>
      </c>
      <c r="C8">
        <v>84246</v>
      </c>
      <c r="D8" t="s">
        <v>153</v>
      </c>
    </row>
    <row r="9" spans="1:4" x14ac:dyDescent="0.45">
      <c r="A9" t="s">
        <v>52</v>
      </c>
      <c r="B9" t="s">
        <v>44</v>
      </c>
      <c r="C9">
        <v>47293</v>
      </c>
      <c r="D9" t="s">
        <v>154</v>
      </c>
    </row>
    <row r="10" spans="1:4" x14ac:dyDescent="0.45">
      <c r="A10" t="s">
        <v>53</v>
      </c>
      <c r="B10" t="s">
        <v>44</v>
      </c>
      <c r="C10" t="b">
        <v>1</v>
      </c>
    </row>
    <row r="11" spans="1:4" ht="28.5" x14ac:dyDescent="0.45">
      <c r="A11" t="s">
        <v>54</v>
      </c>
      <c r="B11" t="s">
        <v>44</v>
      </c>
      <c r="C11" t="s">
        <v>55</v>
      </c>
      <c r="D11" s="11" t="s">
        <v>196</v>
      </c>
    </row>
    <row r="12" spans="1:4" ht="42.75" x14ac:dyDescent="0.45">
      <c r="A12" t="s">
        <v>56</v>
      </c>
      <c r="B12" t="s">
        <v>44</v>
      </c>
      <c r="C12" t="s">
        <v>55</v>
      </c>
      <c r="D12" s="11" t="s">
        <v>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>
      <selection activeCell="C21" sqref="C21"/>
    </sheetView>
  </sheetViews>
  <sheetFormatPr defaultRowHeight="14.25" x14ac:dyDescent="0.45"/>
  <cols>
    <col min="1" max="1" width="27.6640625" customWidth="1"/>
    <col min="2" max="2" width="33.86328125" customWidth="1"/>
    <col min="3" max="3" width="37.06640625" customWidth="1"/>
    <col min="7" max="7" width="57.06640625" customWidth="1"/>
  </cols>
  <sheetData>
    <row r="1" spans="1:7" x14ac:dyDescent="0.45">
      <c r="A1" s="1" t="s">
        <v>57</v>
      </c>
      <c r="B1" s="1" t="s">
        <v>58</v>
      </c>
      <c r="C1" s="24" t="s">
        <v>131</v>
      </c>
      <c r="G1" s="29" t="s">
        <v>137</v>
      </c>
    </row>
    <row r="2" spans="1:7" x14ac:dyDescent="0.45">
      <c r="A2" t="s">
        <v>59</v>
      </c>
      <c r="B2" t="s">
        <v>60</v>
      </c>
      <c r="G2" t="s">
        <v>133</v>
      </c>
    </row>
    <row r="3" spans="1:7" x14ac:dyDescent="0.45">
      <c r="A3" t="s">
        <v>61</v>
      </c>
      <c r="B3" t="s">
        <v>62</v>
      </c>
      <c r="G3" t="s">
        <v>134</v>
      </c>
    </row>
    <row r="4" spans="1:7" x14ac:dyDescent="0.45">
      <c r="A4" t="s">
        <v>63</v>
      </c>
      <c r="B4" t="s">
        <v>64</v>
      </c>
      <c r="G4" t="s">
        <v>135</v>
      </c>
    </row>
    <row r="5" spans="1:7" x14ac:dyDescent="0.45">
      <c r="A5" t="s">
        <v>65</v>
      </c>
      <c r="B5" t="s">
        <v>66</v>
      </c>
      <c r="G5" t="s">
        <v>136</v>
      </c>
    </row>
    <row r="6" spans="1:7" x14ac:dyDescent="0.45">
      <c r="A6" t="s">
        <v>67</v>
      </c>
      <c r="B6" t="s">
        <v>68</v>
      </c>
      <c r="C6" t="s">
        <v>132</v>
      </c>
    </row>
    <row r="7" spans="1:7" x14ac:dyDescent="0.45">
      <c r="A7" t="s">
        <v>69</v>
      </c>
      <c r="B7" t="s">
        <v>70</v>
      </c>
      <c r="G7" s="29" t="s">
        <v>144</v>
      </c>
    </row>
    <row r="8" spans="1:7" x14ac:dyDescent="0.45">
      <c r="A8" t="s">
        <v>71</v>
      </c>
      <c r="B8" t="s">
        <v>23</v>
      </c>
      <c r="G8" s="24" t="s">
        <v>138</v>
      </c>
    </row>
    <row r="9" spans="1:7" x14ac:dyDescent="0.45">
      <c r="A9" t="s">
        <v>72</v>
      </c>
      <c r="B9" t="s">
        <v>48</v>
      </c>
      <c r="G9" t="s">
        <v>140</v>
      </c>
    </row>
    <row r="10" spans="1:7" x14ac:dyDescent="0.45">
      <c r="A10" t="s">
        <v>73</v>
      </c>
      <c r="B10" t="s">
        <v>74</v>
      </c>
      <c r="G10" t="s">
        <v>141</v>
      </c>
    </row>
    <row r="11" spans="1:7" x14ac:dyDescent="0.45">
      <c r="A11" t="s">
        <v>145</v>
      </c>
      <c r="B11" t="s">
        <v>147</v>
      </c>
      <c r="C11" t="s">
        <v>148</v>
      </c>
      <c r="G11" s="24" t="s">
        <v>139</v>
      </c>
    </row>
    <row r="12" spans="1:7" x14ac:dyDescent="0.45">
      <c r="A12" t="s">
        <v>146</v>
      </c>
      <c r="B12" t="s">
        <v>149</v>
      </c>
      <c r="C12" t="s">
        <v>150</v>
      </c>
      <c r="G12" t="s">
        <v>143</v>
      </c>
    </row>
    <row r="13" spans="1:7" x14ac:dyDescent="0.45">
      <c r="G13" t="s">
        <v>142</v>
      </c>
    </row>
    <row r="16" spans="1:7" ht="18" x14ac:dyDescent="0.55000000000000004">
      <c r="A16" s="46" t="s">
        <v>166</v>
      </c>
      <c r="B16" s="46"/>
    </row>
    <row r="17" spans="1:2" x14ac:dyDescent="0.45">
      <c r="A17" s="44" t="s">
        <v>167</v>
      </c>
      <c r="B17" s="44"/>
    </row>
    <row r="19" spans="1:2" x14ac:dyDescent="0.45">
      <c r="A19" s="43" t="s">
        <v>168</v>
      </c>
      <c r="B19" s="43"/>
    </row>
    <row r="20" spans="1:2" x14ac:dyDescent="0.45">
      <c r="A20" s="40" t="s">
        <v>169</v>
      </c>
      <c r="B20" s="40"/>
    </row>
    <row r="21" spans="1:2" x14ac:dyDescent="0.45">
      <c r="A21" s="40" t="s">
        <v>195</v>
      </c>
      <c r="B21" s="40"/>
    </row>
    <row r="23" spans="1:2" x14ac:dyDescent="0.45">
      <c r="A23" s="47" t="s">
        <v>170</v>
      </c>
      <c r="B23" s="47"/>
    </row>
    <row r="24" spans="1:2" x14ac:dyDescent="0.45">
      <c r="A24" s="45" t="s">
        <v>179</v>
      </c>
      <c r="B24" s="45"/>
    </row>
    <row r="25" spans="1:2" x14ac:dyDescent="0.45">
      <c r="A25" s="45" t="s">
        <v>171</v>
      </c>
      <c r="B25" s="45"/>
    </row>
    <row r="26" spans="1:2" ht="14.25" customHeight="1" x14ac:dyDescent="0.45">
      <c r="A26" s="45" t="s">
        <v>172</v>
      </c>
      <c r="B26" s="45"/>
    </row>
    <row r="27" spans="1:2" x14ac:dyDescent="0.45">
      <c r="A27" s="45"/>
      <c r="B27" s="45"/>
    </row>
  </sheetData>
  <mergeCells count="9">
    <mergeCell ref="A24:B24"/>
    <mergeCell ref="A25:B25"/>
    <mergeCell ref="A26:B27"/>
    <mergeCell ref="A16:B16"/>
    <mergeCell ref="A17:B17"/>
    <mergeCell ref="A20:B20"/>
    <mergeCell ref="A21:B21"/>
    <mergeCell ref="A19:B19"/>
    <mergeCell ref="A23:B2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topLeftCell="B1" workbookViewId="0">
      <selection activeCell="F2" sqref="F2:F4"/>
    </sheetView>
  </sheetViews>
  <sheetFormatPr defaultRowHeight="14.25" x14ac:dyDescent="0.45"/>
  <cols>
    <col min="1" max="1" width="18.9296875" bestFit="1" customWidth="1"/>
    <col min="2" max="2" width="42.6640625" bestFit="1" customWidth="1"/>
    <col min="3" max="3" width="35.9296875" bestFit="1" customWidth="1"/>
    <col min="5" max="5" width="62.19921875" customWidth="1"/>
    <col min="6" max="6" width="49.1328125" customWidth="1"/>
  </cols>
  <sheetData>
    <row r="1" spans="1:6" x14ac:dyDescent="0.45">
      <c r="A1" s="1" t="s">
        <v>75</v>
      </c>
      <c r="B1" s="1" t="s">
        <v>76</v>
      </c>
      <c r="C1" s="1" t="s">
        <v>77</v>
      </c>
      <c r="E1" s="38" t="s">
        <v>189</v>
      </c>
      <c r="F1" s="38" t="s">
        <v>188</v>
      </c>
    </row>
    <row r="2" spans="1:6" x14ac:dyDescent="0.45">
      <c r="A2" t="s">
        <v>0</v>
      </c>
      <c r="B2" t="s">
        <v>78</v>
      </c>
      <c r="C2" t="s">
        <v>79</v>
      </c>
      <c r="E2" s="48" t="s">
        <v>194</v>
      </c>
      <c r="F2" s="49" t="s">
        <v>180</v>
      </c>
    </row>
    <row r="3" spans="1:6" x14ac:dyDescent="0.45">
      <c r="A3" t="s">
        <v>1</v>
      </c>
      <c r="B3" t="s">
        <v>80</v>
      </c>
      <c r="C3" t="s">
        <v>81</v>
      </c>
      <c r="E3" s="48"/>
      <c r="F3" s="49"/>
    </row>
    <row r="4" spans="1:6" x14ac:dyDescent="0.45">
      <c r="A4" t="s">
        <v>9</v>
      </c>
      <c r="B4" t="s">
        <v>82</v>
      </c>
      <c r="C4" t="s">
        <v>83</v>
      </c>
      <c r="E4" s="48"/>
      <c r="F4" s="49"/>
    </row>
    <row r="5" spans="1:6" x14ac:dyDescent="0.45">
      <c r="A5" t="s">
        <v>12</v>
      </c>
      <c r="B5" t="s">
        <v>84</v>
      </c>
      <c r="C5" t="s">
        <v>85</v>
      </c>
    </row>
    <row r="6" spans="1:6" x14ac:dyDescent="0.45">
      <c r="A6" t="s">
        <v>13</v>
      </c>
      <c r="B6" t="s">
        <v>86</v>
      </c>
      <c r="C6" t="s">
        <v>85</v>
      </c>
      <c r="E6" t="s">
        <v>181</v>
      </c>
      <c r="F6" t="s">
        <v>181</v>
      </c>
    </row>
    <row r="7" spans="1:6" x14ac:dyDescent="0.45">
      <c r="A7" t="s">
        <v>14</v>
      </c>
      <c r="B7" t="s">
        <v>87</v>
      </c>
      <c r="C7" t="s">
        <v>88</v>
      </c>
      <c r="E7" t="s">
        <v>193</v>
      </c>
      <c r="F7" t="s">
        <v>182</v>
      </c>
    </row>
    <row r="8" spans="1:6" x14ac:dyDescent="0.45">
      <c r="A8" t="s">
        <v>15</v>
      </c>
      <c r="B8" t="s">
        <v>89</v>
      </c>
      <c r="C8" t="s">
        <v>90</v>
      </c>
      <c r="E8" t="s">
        <v>190</v>
      </c>
      <c r="F8" t="s">
        <v>183</v>
      </c>
    </row>
    <row r="9" spans="1:6" x14ac:dyDescent="0.45">
      <c r="A9" t="s">
        <v>16</v>
      </c>
      <c r="B9" t="s">
        <v>91</v>
      </c>
      <c r="C9" t="s">
        <v>90</v>
      </c>
      <c r="E9" t="s">
        <v>191</v>
      </c>
      <c r="F9" t="s">
        <v>184</v>
      </c>
    </row>
    <row r="10" spans="1:6" x14ac:dyDescent="0.45">
      <c r="A10" t="s">
        <v>17</v>
      </c>
      <c r="B10" t="s">
        <v>92</v>
      </c>
      <c r="C10" t="s">
        <v>90</v>
      </c>
      <c r="E10" t="s">
        <v>192</v>
      </c>
      <c r="F10" t="s">
        <v>185</v>
      </c>
    </row>
    <row r="11" spans="1:6" x14ac:dyDescent="0.45">
      <c r="A11" t="s">
        <v>21</v>
      </c>
      <c r="B11" t="s">
        <v>93</v>
      </c>
      <c r="C11" t="s">
        <v>94</v>
      </c>
      <c r="F11" t="s">
        <v>186</v>
      </c>
    </row>
    <row r="12" spans="1:6" x14ac:dyDescent="0.45">
      <c r="A12" t="s">
        <v>20</v>
      </c>
      <c r="B12" t="s">
        <v>95</v>
      </c>
      <c r="C12" t="s">
        <v>96</v>
      </c>
      <c r="F12" t="s">
        <v>187</v>
      </c>
    </row>
    <row r="13" spans="1:6" x14ac:dyDescent="0.45">
      <c r="A13" t="s">
        <v>18</v>
      </c>
      <c r="B13" t="s">
        <v>97</v>
      </c>
      <c r="C13" t="s">
        <v>98</v>
      </c>
    </row>
  </sheetData>
  <mergeCells count="2">
    <mergeCell ref="E2:E4"/>
    <mergeCell ref="F2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Summary_Statistics</vt:lpstr>
      <vt:lpstr>Correlation_Matrix</vt:lpstr>
      <vt:lpstr>Cabin_Analysis</vt:lpstr>
      <vt:lpstr>Customer_Analysis</vt:lpstr>
      <vt:lpstr>Model_Readiness</vt:lpstr>
      <vt:lpstr>Business_Insights</vt:lpstr>
      <vt:lpstr>Variable_Definitions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gorakhia</cp:lastModifiedBy>
  <dcterms:created xsi:type="dcterms:W3CDTF">2025-09-06T07:54:09Z</dcterms:created>
  <dcterms:modified xsi:type="dcterms:W3CDTF">2026-01-18T03:24:30Z</dcterms:modified>
</cp:coreProperties>
</file>